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<sst xmlns="http://schemas.openxmlformats.org/spreadsheetml/2006/main" count="36" uniqueCount="29">
  <si>
    <t>Winding Impedance</t>
  </si>
  <si>
    <t>Winding Resistance</t>
  </si>
  <si>
    <t>|Z|</t>
  </si>
  <si>
    <t>Theta</t>
  </si>
  <si>
    <t>R1-2</t>
  </si>
  <si>
    <t>Z1-2</t>
  </si>
  <si>
    <t>R1-3</t>
  </si>
  <si>
    <t>Z1-3</t>
  </si>
  <si>
    <t>R2-3</t>
  </si>
  <si>
    <t>Z2-3</t>
  </si>
  <si>
    <t>Average</t>
  </si>
  <si>
    <t>Imbalance</t>
  </si>
  <si>
    <t>Winding Inductance</t>
  </si>
  <si>
    <t>Winding Capacitance</t>
  </si>
  <si>
    <t>L1-2</t>
  </si>
  <si>
    <t>C1-2-3 to GND</t>
  </si>
  <si>
    <t>12.382 nF</t>
  </si>
  <si>
    <t>L1-3</t>
  </si>
  <si>
    <t>L2-3</t>
  </si>
  <si>
    <t>1k</t>
  </si>
  <si>
    <t>10k</t>
  </si>
  <si>
    <t>100k</t>
  </si>
  <si>
    <t>PI</t>
  </si>
  <si>
    <t>DAR</t>
  </si>
  <si>
    <t>Step Voltage</t>
  </si>
  <si>
    <t>Sep Voltage settle current</t>
  </si>
  <si>
    <t>Voltage</t>
  </si>
  <si>
    <t>Settled Current</t>
  </si>
  <si>
    <t>This values are settled current at the end of each peak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</si>
</sst>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Times New Roman"/>
      <scheme val="minor"/>
    </font>
    <font>
      <color theme="1"/>
      <name val="Times New Roman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left" readingOrder="0" vertical="top"/>
    </xf>
    <xf borderId="0" fillId="0" fontId="1" numFmtId="0" xfId="0" applyAlignment="1" applyFont="1">
      <alignment horizontal="left" vertical="top"/>
    </xf>
    <xf borderId="0" fillId="0" fontId="1" numFmtId="0" xfId="0" applyAlignment="1" applyFont="1">
      <alignment horizontal="center" readingOrder="0" vertical="top"/>
    </xf>
    <xf borderId="0" fillId="0" fontId="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Winding Frequency Response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Sheet1!$B$26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Sheet1!$C$25:$G$25</c:f>
            </c:strRef>
          </c:cat>
          <c:val>
            <c:numRef>
              <c:f>Sheet1!$C$26:$G$26</c:f>
              <c:numCache/>
            </c:numRef>
          </c:val>
          <c:smooth val="0"/>
        </c:ser>
        <c:ser>
          <c:idx val="1"/>
          <c:order val="1"/>
          <c:tx>
            <c:strRef>
              <c:f>Sheet1!$B$27</c:f>
            </c:strRef>
          </c:tx>
          <c:spPr>
            <a:ln cmpd="sng">
              <a:solidFill>
                <a:srgbClr val="C0504D"/>
              </a:solidFill>
            </a:ln>
          </c:spPr>
          <c:marker>
            <c:symbol val="none"/>
          </c:marker>
          <c:cat>
            <c:strRef>
              <c:f>Sheet1!$C$25:$G$25</c:f>
            </c:strRef>
          </c:cat>
          <c:val>
            <c:numRef>
              <c:f>Sheet1!$C$27:$G$27</c:f>
              <c:numCache/>
            </c:numRef>
          </c:val>
          <c:smooth val="0"/>
        </c:ser>
        <c:ser>
          <c:idx val="2"/>
          <c:order val="2"/>
          <c:tx>
            <c:strRef>
              <c:f>Sheet1!$B$28</c:f>
            </c:strRef>
          </c:tx>
          <c:spPr>
            <a:ln cmpd="sng">
              <a:solidFill>
                <a:srgbClr val="9BBB59"/>
              </a:solidFill>
            </a:ln>
          </c:spPr>
          <c:marker>
            <c:symbol val="none"/>
          </c:marker>
          <c:cat>
            <c:strRef>
              <c:f>Sheet1!$C$25:$G$25</c:f>
            </c:strRef>
          </c:cat>
          <c:val>
            <c:numRef>
              <c:f>Sheet1!$C$28:$G$28</c:f>
              <c:numCache/>
            </c:numRef>
          </c:val>
          <c:smooth val="0"/>
        </c:ser>
        <c:axId val="1112336494"/>
        <c:axId val="223981388"/>
      </c:lineChart>
      <c:catAx>
        <c:axId val="1112336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Hz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3981388"/>
      </c:catAx>
      <c:valAx>
        <c:axId val="22398138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1233649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Insulation Response to Step Voltage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Sheet1!$B$131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Sheet1!$C$130:$G$130</c:f>
            </c:strRef>
          </c:cat>
          <c:val>
            <c:numRef>
              <c:f>Sheet1!$C$131:$G$131</c:f>
              <c:numCache/>
            </c:numRef>
          </c:val>
          <c:smooth val="0"/>
        </c:ser>
        <c:axId val="1400625057"/>
        <c:axId val="420887418"/>
      </c:lineChart>
      <c:catAx>
        <c:axId val="140062505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Voltage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0887418"/>
      </c:catAx>
      <c:valAx>
        <c:axId val="4208874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Settled Current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062505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image" Target="../media/image3.png"/><Relationship Id="rId4" Type="http://schemas.openxmlformats.org/officeDocument/2006/relationships/image" Target="../media/image1.png"/><Relationship Id="rId5" Type="http://schemas.openxmlformats.org/officeDocument/2006/relationships/image" Target="../media/image5.png"/><Relationship Id="rId6" Type="http://schemas.openxmlformats.org/officeDocument/2006/relationships/image" Target="../media/image2.png"/><Relationship Id="rId7" Type="http://schemas.openxmlformats.org/officeDocument/2006/relationships/image" Target="../media/image4.jpg"/><Relationship Id="rId8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438150</xdr:colOff>
      <xdr:row>6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523875</xdr:colOff>
      <xdr:row>123</xdr:row>
      <xdr:rowOff>19050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0</xdr:colOff>
      <xdr:row>37</xdr:row>
      <xdr:rowOff>133350</xdr:rowOff>
    </xdr:from>
    <xdr:ext cx="7439025" cy="40671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38</xdr:row>
      <xdr:rowOff>28575</xdr:rowOff>
    </xdr:from>
    <xdr:ext cx="7439025" cy="4010025"/>
    <xdr:pic>
      <xdr:nvPicPr>
        <xdr:cNvPr id="0" name="image1.pn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65</xdr:row>
      <xdr:rowOff>95250</xdr:rowOff>
    </xdr:from>
    <xdr:ext cx="7439025" cy="4010025"/>
    <xdr:pic>
      <xdr:nvPicPr>
        <xdr:cNvPr id="0" name="image5.png" title="Image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514350</xdr:colOff>
      <xdr:row>65</xdr:row>
      <xdr:rowOff>95250</xdr:rowOff>
    </xdr:from>
    <xdr:ext cx="7439025" cy="4010025"/>
    <xdr:pic>
      <xdr:nvPicPr>
        <xdr:cNvPr id="0" name="image2.png" title="Image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97</xdr:row>
      <xdr:rowOff>28575</xdr:rowOff>
    </xdr:from>
    <xdr:ext cx="7391400" cy="4010025"/>
    <xdr:pic>
      <xdr:nvPicPr>
        <xdr:cNvPr id="0" name="image4.jpg" title="Image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76200</xdr:colOff>
      <xdr:row>97</xdr:row>
      <xdr:rowOff>104775</xdr:rowOff>
    </xdr:from>
    <xdr:ext cx="7315200" cy="3933825"/>
    <xdr:pic>
      <xdr:nvPicPr>
        <xdr:cNvPr id="0" name="image6.png" title="Image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>
      <c r="E6" s="1" t="s">
        <v>0</v>
      </c>
    </row>
    <row r="7" ht="12.75" customHeight="1">
      <c r="B7" s="1" t="s">
        <v>1</v>
      </c>
      <c r="F7" s="1" t="s">
        <v>2</v>
      </c>
      <c r="G7" s="1" t="s">
        <v>3</v>
      </c>
    </row>
    <row r="8" ht="12.75" customHeight="1">
      <c r="B8" s="1" t="s">
        <v>4</v>
      </c>
      <c r="C8" s="1">
        <v>1.14089</v>
      </c>
      <c r="E8" s="1" t="s">
        <v>5</v>
      </c>
      <c r="F8" s="1">
        <v>31.4235</v>
      </c>
      <c r="G8" s="1">
        <v>80.26</v>
      </c>
    </row>
    <row r="9" ht="12.75" customHeight="1">
      <c r="B9" s="1" t="s">
        <v>6</v>
      </c>
      <c r="C9" s="1">
        <v>1.16685</v>
      </c>
      <c r="E9" s="1" t="s">
        <v>7</v>
      </c>
      <c r="F9" s="1">
        <v>25.7656</v>
      </c>
      <c r="G9" s="1">
        <v>80.15</v>
      </c>
    </row>
    <row r="10" ht="12.75" customHeight="1">
      <c r="B10" s="1" t="s">
        <v>8</v>
      </c>
      <c r="C10" s="1">
        <v>1.13032</v>
      </c>
      <c r="E10" s="1" t="s">
        <v>9</v>
      </c>
      <c r="F10" s="1">
        <v>33.352</v>
      </c>
      <c r="G10" s="1">
        <v>80.32</v>
      </c>
    </row>
    <row r="11" ht="12.75" customHeight="1">
      <c r="B11" s="1" t="s">
        <v>10</v>
      </c>
      <c r="C11" s="2">
        <f>AVERAGE(C8:C10)</f>
        <v>1.14602</v>
      </c>
      <c r="E11" s="1" t="s">
        <v>10</v>
      </c>
      <c r="F11" s="2">
        <f t="shared" ref="F11:G11" si="1">AVERAGE(F8:F10)</f>
        <v>30.18036667</v>
      </c>
      <c r="G11" s="2">
        <f t="shared" si="1"/>
        <v>80.24333333</v>
      </c>
    </row>
    <row r="12" ht="12.75" customHeight="1">
      <c r="B12" s="1" t="s">
        <v>11</v>
      </c>
      <c r="C12" s="2">
        <f>100*max(abs(C8-C11), abs(C9-C11), abs(C10-C11))/C11</f>
        <v>1.817594806</v>
      </c>
      <c r="E12" s="1" t="s">
        <v>11</v>
      </c>
      <c r="F12" s="2">
        <f t="shared" ref="F12:G12" si="2">100*max(abs(F8-F11), abs(F9-F11), abs(F10-F11))/F11</f>
        <v>14.62794245</v>
      </c>
      <c r="G12" s="2">
        <f t="shared" si="2"/>
        <v>0.1163128817</v>
      </c>
    </row>
    <row r="13" ht="12.75" customHeight="1"/>
    <row r="14" ht="12.75" customHeight="1"/>
    <row r="15" ht="12.75" customHeight="1"/>
    <row r="16" ht="12.75" customHeight="1"/>
    <row r="17" ht="12.75" customHeight="1">
      <c r="B17" s="1" t="s">
        <v>12</v>
      </c>
      <c r="E17" s="1" t="s">
        <v>13</v>
      </c>
    </row>
    <row r="18" ht="12.75" customHeight="1">
      <c r="B18" s="1" t="s">
        <v>14</v>
      </c>
      <c r="C18" s="3">
        <v>48.6434999999999</v>
      </c>
      <c r="E18" s="1" t="s">
        <v>15</v>
      </c>
      <c r="G18" s="1" t="s">
        <v>16</v>
      </c>
    </row>
    <row r="19" ht="12.75" customHeight="1">
      <c r="B19" s="1" t="s">
        <v>17</v>
      </c>
      <c r="C19" s="3">
        <v>39.9165</v>
      </c>
    </row>
    <row r="20" ht="12.75" customHeight="1">
      <c r="B20" s="1" t="s">
        <v>18</v>
      </c>
      <c r="C20" s="3">
        <v>51.6431</v>
      </c>
    </row>
    <row r="21" ht="12.75" customHeight="1">
      <c r="B21" s="1" t="s">
        <v>10</v>
      </c>
      <c r="C21" s="2">
        <f>AVERAGE(C18:C20)</f>
        <v>46.73436667</v>
      </c>
    </row>
    <row r="22" ht="12.75" customHeight="1">
      <c r="B22" s="1" t="s">
        <v>11</v>
      </c>
      <c r="C22" s="2">
        <f>100*max(abs(C18-C21), abs(C19-C21), abs(C20-C21))/C21</f>
        <v>14.58855047</v>
      </c>
    </row>
    <row r="23" ht="12.75" customHeight="1"/>
    <row r="24" ht="12.75" customHeight="1"/>
    <row r="25" ht="12.75" customHeight="1">
      <c r="B25" s="4"/>
      <c r="C25" s="3">
        <v>100.0</v>
      </c>
      <c r="D25" s="3">
        <v>120.0</v>
      </c>
      <c r="E25" s="3" t="s">
        <v>19</v>
      </c>
      <c r="F25" s="3" t="s">
        <v>20</v>
      </c>
      <c r="G25" s="3" t="s">
        <v>21</v>
      </c>
    </row>
    <row r="26" ht="12.75" customHeight="1">
      <c r="B26" s="3" t="s">
        <v>14</v>
      </c>
      <c r="C26" s="3">
        <v>49.3407999999999</v>
      </c>
      <c r="D26" s="3">
        <v>48.6434999999999</v>
      </c>
      <c r="E26" s="3">
        <v>39.9915</v>
      </c>
      <c r="F26" s="3">
        <v>20.5852</v>
      </c>
      <c r="G26" s="3">
        <v>1.61897999999999</v>
      </c>
    </row>
    <row r="27" ht="12.75" customHeight="1">
      <c r="B27" s="3" t="s">
        <v>17</v>
      </c>
      <c r="C27" s="3">
        <v>40.4539999999999</v>
      </c>
      <c r="D27" s="3">
        <v>39.9165</v>
      </c>
      <c r="E27" s="3">
        <v>34.4169</v>
      </c>
      <c r="F27" s="3">
        <v>20.9913</v>
      </c>
      <c r="G27" s="3">
        <v>1.41742</v>
      </c>
    </row>
    <row r="28" ht="12.75" customHeight="1">
      <c r="B28" s="3" t="s">
        <v>18</v>
      </c>
      <c r="C28" s="3">
        <v>52.3927</v>
      </c>
      <c r="D28" s="3">
        <v>51.6431</v>
      </c>
      <c r="E28" s="3">
        <v>41.8938</v>
      </c>
      <c r="F28" s="3">
        <v>20.4562</v>
      </c>
      <c r="G28" s="3">
        <v>1.30941</v>
      </c>
    </row>
    <row r="29" ht="12.75" customHeight="1"/>
    <row r="30" ht="12.75" customHeight="1">
      <c r="B30" s="1"/>
    </row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>
      <c r="C37" s="1" t="s">
        <v>22</v>
      </c>
    </row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>
      <c r="C65" s="1" t="s">
        <v>23</v>
      </c>
    </row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>
      <c r="C95" s="1" t="s">
        <v>24</v>
      </c>
    </row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>
      <c r="C128" s="1" t="s">
        <v>25</v>
      </c>
    </row>
    <row r="129" ht="12.75" customHeight="1"/>
    <row r="130" ht="12.75" customHeight="1">
      <c r="B130" s="1" t="s">
        <v>26</v>
      </c>
      <c r="C130" s="1">
        <v>100.0</v>
      </c>
      <c r="D130" s="1">
        <v>200.0</v>
      </c>
      <c r="E130" s="1">
        <v>300.0</v>
      </c>
      <c r="F130" s="1">
        <v>400.0</v>
      </c>
      <c r="G130" s="1">
        <v>500.0</v>
      </c>
    </row>
    <row r="131" ht="12.75" customHeight="1">
      <c r="B131" s="1" t="s">
        <v>27</v>
      </c>
      <c r="C131" s="1">
        <v>0.00191</v>
      </c>
      <c r="D131" s="1">
        <v>0.00391</v>
      </c>
      <c r="E131" s="1">
        <v>0.00924</v>
      </c>
      <c r="F131" s="1">
        <v>0.0139</v>
      </c>
      <c r="G131" s="1">
        <v>0.0185</v>
      </c>
    </row>
    <row r="132" ht="12.75" customHeight="1"/>
    <row r="133" ht="12.75" customHeight="1"/>
    <row r="134" ht="12.75" customHeight="1">
      <c r="C134" s="1" t="s">
        <v>28</v>
      </c>
    </row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